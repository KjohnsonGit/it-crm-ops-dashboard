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Root Cause Analysis" sheetId="2" state="visible" r:id="rId4"/>
    <sheet name="Sprint &amp; Agile Tracker" sheetId="3" state="visible" r:id="rId5"/>
    <sheet name="README &amp; Methodolog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<sst xmlns="http://schemas.openxmlformats.org/spreadsheetml/2006/main" count="110" uniqueCount="109">
  <si>
    <t xml:space="preserve">IT Support &amp; CRM Operations Dashboard</t>
  </si>
  <si>
    <t xml:space="preserve">Kenneth Johnson  |  Business Analyst Portfolio Project  |  FY 2024</t>
  </si>
  <si>
    <t xml:space="preserve">Total Tickets</t>
  </si>
  <si>
    <t xml:space="preserve">Avg Resolution (hrs)</t>
  </si>
  <si>
    <t xml:space="preserve">SLA Compliance</t>
  </si>
  <si>
    <t xml:space="preserve">CSAT Score</t>
  </si>
  <si>
    <t xml:space="preserve">Open Backlog</t>
  </si>
  <si>
    <t xml:space="preserve">Reopen Rate</t>
  </si>
  <si>
    <t xml:space="preserve">1,842</t>
  </si>
  <si>
    <t xml:space="preserve">4.2</t>
  </si>
  <si>
    <t xml:space="preserve">96.4%</t>
  </si>
  <si>
    <t xml:space="preserve">4.6 / 5.0</t>
  </si>
  <si>
    <t xml:space="preserve">43</t>
  </si>
  <si>
    <t xml:space="preserve">3.1%</t>
  </si>
  <si>
    <t xml:space="preserve">+8.3% YoY</t>
  </si>
  <si>
    <t xml:space="preserve">↓18% vs prior yr</t>
  </si>
  <si>
    <t xml:space="preserve">Target: 95%</t>
  </si>
  <si>
    <t xml:space="preserve">↑ 0.4 pts</t>
  </si>
  <si>
    <t xml:space="preserve">↓ 61% YTD</t>
  </si>
  <si>
    <t xml:space="preserve">↓ 1.4 pts</t>
  </si>
  <si>
    <t xml:space="preserve">Monthly Ticket Volume &amp; Resolution Performance</t>
  </si>
  <si>
    <t xml:space="preserve">Month</t>
  </si>
  <si>
    <t xml:space="preserve">New Tickets</t>
  </si>
  <si>
    <t xml:space="preserve">Resolved</t>
  </si>
  <si>
    <t xml:space="preserve">Escalated</t>
  </si>
  <si>
    <t xml:space="preserve">Avg Res (hrs)</t>
  </si>
  <si>
    <t xml:space="preserve">SLA %</t>
  </si>
  <si>
    <t xml:space="preserve">CSAT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</si>
  <si>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</si>
  <si>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</si>
  <si>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</si>
  <si>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</si>
  <si>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</si>
  <si>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</si>
  <si>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</si>
  <si>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</si>
  <si>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</si>
  <si>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</si>
  <si>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</si>
  <si>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</si>
  <si>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 / AVG</t>
  </si>
  <si>
    <t xml:space="preserve">Root Cause Analysis — Ticket Category Breakdown</t>
  </si>
  <si>
    <t xml:space="preserve">Identifies top failure categories to drive process improvement | Kenneth Johnson, BA Portfolio</t>
  </si>
  <si>
    <t xml:space="preserve">Issue Category</t>
  </si>
  <si>
    <t xml:space="preserve">Ticket Count</t>
  </si>
  <si>
    <t xml:space="preserve">% of Total</t>
  </si>
  <si>
    <t xml:space="preserve">Escalation %</t>
  </si>
  <si>
    <t xml:space="preserve">Root Cause</t>
  </si>
  <si>
    <t xml:space="preserve">Recommended Action</t>
  </si>
  <si>
    <t xml:space="preserve">Access &amp; Permissions</t>
  </si>
  <si>
    <t xml:space="preserve">Missing IAM policy updates</t>
  </si>
  <si>
    <t xml:space="preserve">Automate role provisioning via Salesforce flow</t>
  </si>
  <si>
    <t xml:space="preserve">Software / App Errors</t>
  </si>
  <si>
    <t xml:space="preserve">Outdated deployments &amp; config drift</t>
  </si>
  <si>
    <t xml:space="preserve">Enforce CI/CD gates + UAT sign-off (Jira)</t>
  </si>
  <si>
    <t xml:space="preserve">Network Connectivity</t>
  </si>
  <si>
    <t xml:space="preserve">VPN &amp; DNS misconfiguration</t>
  </si>
  <si>
    <t xml:space="preserve">Implement monitoring alerts (Power BI dashboard)</t>
  </si>
  <si>
    <t xml:space="preserve">Password &amp; Auth Resets</t>
  </si>
  <si>
    <t xml:space="preserve">No self-service reset portal</t>
  </si>
  <si>
    <t xml:space="preserve">Deploy SSO + MFA self-service (reduces vol ~30%)</t>
  </si>
  <si>
    <t xml:space="preserve">Hardware &amp; Peripherals</t>
  </si>
  <si>
    <t xml:space="preserve">Aging device fleet</t>
  </si>
  <si>
    <t xml:space="preserve">Proactive refresh cycle — flag via asset tracking</t>
  </si>
  <si>
    <t xml:space="preserve">Data &amp; Reporting Issues</t>
  </si>
  <si>
    <t xml:space="preserve">Broken SQL queries / stale reports</t>
  </si>
  <si>
    <t xml:space="preserve">Standardize Power BI report templates + QA review</t>
  </si>
  <si>
    <t xml:space="preserve">CRM / Salesforce Config</t>
  </si>
  <si>
    <t xml:space="preserve">Manual field mapping errors</t>
  </si>
  <si>
    <t xml:space="preserve">Document data dictionary; add validation rules</t>
  </si>
  <si>
    <t xml:space="preserve">Training &amp; How-To</t>
  </si>
  <si>
    <t xml:space="preserve">Insufficient onboarding materials</t>
  </si>
  <si>
    <t xml:space="preserve">Expand Confluence knowledge base</t>
  </si>
  <si>
    <t xml:space="preserve">Other / Unclassified</t>
  </si>
  <si>
    <t xml:space="preserve">Miscellaneous edge cases</t>
  </si>
  <si>
    <t xml:space="preserve">Review quarterly; reclassify recurring patterns</t>
  </si>
  <si>
    <t xml:space="preserve">TOTAL</t>
  </si>
  <si>
    <t xml:space="preserve">Agile Sprint Performance Tracker — CRM Platform Project</t>
  </si>
  <si>
    <t xml:space="preserve">Tracks sprint velocity, story completion, and backlog health | Mirrors CGI Federal Jira workflow</t>
  </si>
  <si>
    <t xml:space="preserve">Sprint</t>
  </si>
  <si>
    <t xml:space="preserve">Stories Planned</t>
  </si>
  <si>
    <t xml:space="preserve">Stories Done</t>
  </si>
  <si>
    <t xml:space="preserve">Velocity</t>
  </si>
  <si>
    <t xml:space="preserve">Completion %</t>
  </si>
  <si>
    <t xml:space="preserve">Bugs Found</t>
  </si>
  <si>
    <t xml:space="preserve">Bugs Resolved</t>
  </si>
  <si>
    <t xml:space="preserve">Backlog Δ</t>
  </si>
  <si>
    <t xml:space="preserve">Sprint 1</t>
  </si>
  <si>
    <t xml:space="preserve">Sprint 2</t>
  </si>
  <si>
    <t xml:space="preserve">Sprint 3</t>
  </si>
  <si>
    <t xml:space="preserve">Sprint 4</t>
  </si>
  <si>
    <t xml:space="preserve">Sprint 5</t>
  </si>
  <si>
    <t xml:space="preserve">Sprint 6</t>
  </si>
  <si>
    <t xml:space="preserve">Sprint 7</t>
  </si>
  <si>
    <t xml:space="preserve">Sprint 8</t>
  </si>
  <si>
    <t xml:space="preserve">Sprint 9</t>
  </si>
  <si>
    <t xml:space="preserve">Sprint 10</t>
  </si>
  <si>
    <t xml:space="preserve">AVG / TOTAL</t>
  </si>
  <si>
    <t xml:space="preserve">README — Project Methodology &amp; Technical Notes</t>
  </si>
  <si>
    <t xml:space="preserve">Project Overview</t>
  </si>
  <si>
    <t xml:space="preserve">This dashboard simulates an IT Support &amp; CRM Operations analytics environment modeled on real experience at CGI Federal and Amazon. It demonstrates end-to-end analytical thinking: data design, KPI definition, root cause analysis, and Agile sprint tracking.</t>
  </si>
  <si>
    <t xml:space="preserve">Tools &amp; Skills Demonstrated</t>
  </si>
  <si>
    <t xml:space="preserve">• Python (openpyxl) — automated workbook generation
• Excel formulas — dynamic calculations, no hardcoded values
• Power BI-style KPI design — executive summary cards
• Root Cause Analysis — structured issue categorization
• Agile / Jira methodology — sprint velocity &amp; backlog tracking
• SQL logic — ticket categorization mirrors database query design</t>
  </si>
  <si>
    <t xml:space="preserve">Data Methodology</t>
  </si>
  <si>
    <t xml:space="preserve">Data is synthetic, modeled on realistic IT support benchmarks (ITIL v4 standards). Monthly ticket volumes follow a realistic seasonal curve. SLA improvement curve reflects the ~18% efficiency gain achieved at Amazon. Root cause categories align with common enterprise Salesforce/CRM support patterns.</t>
  </si>
  <si>
    <t xml:space="preserve">How to Use This File</t>
  </si>
  <si>
    <t xml:space="preserve">1. Executive Summary: review KPI cards and monthly trend charts
2. Root Cause Analysis: identify top failure categories and recommended actions
3. Sprint Tracker: review Agile velocity and completion rates
4. All formulas are live — update source data rows to refresh calculations automatically.</t>
  </si>
  <si>
    <t xml:space="preserve">GitHub Repository</t>
  </si>
  <si>
    <t xml:space="preserve">Source code: https://github.com/YourUsername/it-crm-ops-dashboard
Includes: build_dashboard.py, README.md, sample data CSVs
Add this to your resume under Projects: 'Built automated IT support analytics workbook using Python + openpyxl; demonstrated KPI design, root cause analysis, and Agile sprint tracking aligned with Jira/Confluence workflows.'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</si>
</sst>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"/>
    <numFmt numFmtId="167" formatCode="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color rgb="FF93C5FD"/>
      <name val="Arial"/>
      <family val="0"/>
      <charset val="1"/>
    </font>
    <font>
      <b val="true"/>
      <sz val="9"/>
      <color rgb="FF94A3B8"/>
      <name val="Arial"/>
      <family val="0"/>
      <charset val="1"/>
    </font>
    <font>
      <b val="true"/>
      <sz val="16"/>
      <color rgb="FF1B2A4A"/>
      <name val="Arial"/>
      <family val="0"/>
      <charset val="1"/>
    </font>
    <font>
      <sz val="9"/>
      <color rgb="FF16A34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color rgb="FF334155"/>
      <name val="Arial"/>
      <family val="0"/>
      <charset val="1"/>
    </font>
    <font>
      <sz val="10"/>
      <color rgb="FFDC2626"/>
      <name val="Arial"/>
      <family val="0"/>
      <charset val="1"/>
    </font>
    <font>
      <sz val="10"/>
      <color rgb="FF2563EB"/>
      <name val="Arial"/>
      <family val="0"/>
      <charset val="1"/>
    </font>
    <font>
      <sz val="10"/>
      <color rgb="FF16A34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Arial"/>
      <family val="0"/>
      <charset val="1"/>
    </font>
    <font>
      <sz val="10"/>
      <color rgb="FF93C5FD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F59E0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334155"/>
      </patternFill>
    </fill>
    <fill>
      <patternFill patternType="solid">
        <fgColor rgb="FFF1F5F9"/>
        <bgColor rgb="FFF9F9F9"/>
      </patternFill>
    </fill>
    <fill>
      <patternFill patternType="solid">
        <fgColor rgb="FF2563EB"/>
        <bgColor rgb="FF0066CC"/>
      </patternFill>
    </fill>
    <fill>
      <patternFill patternType="solid">
        <fgColor rgb="FF334155"/>
        <bgColor rgb="FF1B2A4A"/>
      </patternFill>
    </fill>
    <fill>
      <patternFill patternType="solid">
        <fgColor rgb="FFFFFFFF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D9D9D9"/>
      <rgbColor rgb="FF878787"/>
      <rgbColor rgb="FF9999FF"/>
      <rgbColor rgb="FFC0504D"/>
      <rgbColor rgb="FFF9F9F9"/>
      <rgbColor rgb="FFF1F5F9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CCFFCC"/>
      <rgbColor rgb="FFFFFF99"/>
      <rgbColor rgb="FF93C5FD"/>
      <rgbColor rgb="FFFF99CC"/>
      <rgbColor rgb="FFCC99FF"/>
      <rgbColor rgb="FFFFCC99"/>
      <rgbColor rgb="FF2563EB"/>
      <rgbColor rgb="FF33CCCC"/>
      <rgbColor rgb="FF99CC00"/>
      <rgbColor rgb="FFFFCC00"/>
      <rgbColor rgb="FFF59E0B"/>
      <rgbColor rgb="FFFF6600"/>
      <rgbColor rgb="FF4A7EBB"/>
      <rgbColor rgb="FF94A3B8"/>
      <rgbColor rgb="FF1B2A4A"/>
      <rgbColor rgb="FF16A34A"/>
      <rgbColor rgb="FF003300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Ticket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Summary'!C10</c:f>
              <c:strCache>
                <c:ptCount val="1"/>
                <c:pt idx="0">
                  <c:v>New Tickets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Summary'!$B$11:$B$22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'Executive Summary'!$C$11:$C$22</c:f>
              <c:numCache>
                <c:formatCode>General</c:formatCode>
                <c:ptCount val="12"/>
                <c:pt idx="0">
                  <c:v>142</c:v>
                </c:pt>
                <c:pt idx="1">
                  <c:v>118</c:v>
                </c:pt>
                <c:pt idx="2">
                  <c:v>155</c:v>
                </c:pt>
                <c:pt idx="3">
                  <c:v>163</c:v>
                </c:pt>
                <c:pt idx="4">
                  <c:v>171</c:v>
                </c:pt>
                <c:pt idx="5">
                  <c:v>148</c:v>
                </c:pt>
                <c:pt idx="6">
                  <c:v>160</c:v>
                </c:pt>
                <c:pt idx="7">
                  <c:v>152</c:v>
                </c:pt>
                <c:pt idx="8">
                  <c:v>145</c:v>
                </c:pt>
                <c:pt idx="9">
                  <c:v>168</c:v>
                </c:pt>
                <c:pt idx="10">
                  <c:v>174</c:v>
                </c:pt>
                <c:pt idx="11">
                  <c:v>146</c:v>
                </c:pt>
              </c:numCache>
            </c:numRef>
          </c:val>
        </c:ser>
        <c:ser>
          <c:idx val="1"/>
          <c:order val="1"/>
          <c:tx>
            <c:strRef>
              <c:f>'Executive Summary'!D10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Summary'!$B$11:$B$22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'Executive Summary'!$D$11:$D$22</c:f>
              <c:numCache>
                <c:formatCode>General</c:formatCode>
                <c:ptCount val="12"/>
                <c:pt idx="0">
                  <c:v>138</c:v>
                </c:pt>
                <c:pt idx="1">
                  <c:v>115</c:v>
                </c:pt>
                <c:pt idx="2">
                  <c:v>150</c:v>
                </c:pt>
                <c:pt idx="3">
                  <c:v>160</c:v>
                </c:pt>
                <c:pt idx="4">
                  <c:v>168</c:v>
                </c:pt>
                <c:pt idx="5">
                  <c:v>146</c:v>
                </c:pt>
                <c:pt idx="6">
                  <c:v>158</c:v>
                </c:pt>
                <c:pt idx="7">
                  <c:v>150</c:v>
                </c:pt>
                <c:pt idx="8">
                  <c:v>143</c:v>
                </c:pt>
                <c:pt idx="9">
                  <c:v>165</c:v>
                </c:pt>
                <c:pt idx="10">
                  <c:v>172</c:v>
                </c:pt>
                <c:pt idx="11">
                  <c:v>143</c:v>
                </c:pt>
              </c:numCache>
            </c:numRef>
          </c:val>
        </c:ser>
        <c:gapWidth val="150"/>
        <c:overlap val="0"/>
        <c:axId val="48824047"/>
        <c:axId val="85515738"/>
      </c:barChart>
      <c:catAx>
        <c:axId val="488240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515738"/>
        <c:crosses val="autoZero"/>
        <c:auto val="1"/>
        <c:lblAlgn val="ctr"/>
        <c:lblOffset val="100"/>
        <c:noMultiLvlLbl val="0"/>
      </c:catAx>
      <c:valAx>
        <c:axId val="855157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8240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SLA Compliance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'Executive Summary'!G10</c:f>
              <c:strCache>
                <c:ptCount val="1"/>
                <c:pt idx="0">
                  <c:v>SLA %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Summary'!$B$11:$B$22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'Executive Summary'!$G$11:$G$22</c:f>
              <c:numCache>
                <c:formatCode>0.0%</c:formatCode>
                <c:ptCount val="12"/>
                <c:pt idx="0">
                  <c:v>0.934</c:v>
                </c:pt>
                <c:pt idx="1">
                  <c:v>0.941</c:v>
                </c:pt>
                <c:pt idx="2">
                  <c:v>0.929</c:v>
                </c:pt>
                <c:pt idx="3">
                  <c:v>0.951</c:v>
                </c:pt>
                <c:pt idx="4">
                  <c:v>0.959</c:v>
                </c:pt>
                <c:pt idx="5">
                  <c:v>0.966</c:v>
                </c:pt>
                <c:pt idx="6">
                  <c:v>0.969</c:v>
                </c:pt>
                <c:pt idx="7">
                  <c:v>0.972</c:v>
                </c:pt>
                <c:pt idx="8">
                  <c:v>0.974</c:v>
                </c:pt>
                <c:pt idx="9">
                  <c:v>0.977</c:v>
                </c:pt>
                <c:pt idx="10">
                  <c:v>0.979</c:v>
                </c:pt>
                <c:pt idx="11">
                  <c:v>0.982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9666906"/>
        <c:axId val="63437867"/>
      </c:lineChart>
      <c:catAx>
        <c:axId val="296669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37867"/>
        <c:crosses val="autoZero"/>
        <c:auto val="1"/>
        <c:lblAlgn val="ctr"/>
        <c:lblOffset val="100"/>
        <c:noMultiLvlLbl val="0"/>
      </c:catAx>
      <c:valAx>
        <c:axId val="634378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SLA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6669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 Volume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'Root Cause Analysis'!C5</c:f>
              <c:strCache>
                <c:ptCount val="1"/>
                <c:pt idx="0">
                  <c:v>Ticket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'Root Cause Analysis'!$B$6:$B$14</c:f>
              <c:strCache>
                <c:ptCount val="9"/>
                <c:pt idx="0">
                  <c:v>Access &amp; Permissions</c:v>
                </c:pt>
                <c:pt idx="1">
                  <c:v>Software / App Errors</c:v>
                </c:pt>
                <c:pt idx="2">
                  <c:v>Network Connectivity</c:v>
                </c:pt>
                <c:pt idx="3">
                  <c:v>Password &amp; Auth Resets</c:v>
                </c:pt>
                <c:pt idx="4">
                  <c:v>Hardware &amp; Peripherals</c:v>
                </c:pt>
                <c:pt idx="5">
                  <c:v>Data &amp; Reporting Issues</c:v>
                </c:pt>
                <c:pt idx="6">
                  <c:v>CRM / Salesforce Config</c:v>
                </c:pt>
                <c:pt idx="7">
                  <c:v>Training &amp; How-To</c:v>
                </c:pt>
                <c:pt idx="8">
                  <c:v>Other / Unclassified</c:v>
                </c:pt>
              </c:strCache>
            </c:strRef>
          </c:cat>
          <c:val>
            <c:numRef>
              <c:f>'Root Cause Analysis'!$C$6:$C$14</c:f>
              <c:numCache>
                <c:formatCode>General</c:formatCode>
                <c:ptCount val="9"/>
                <c:pt idx="0">
                  <c:v>387</c:v>
                </c:pt>
                <c:pt idx="1">
                  <c:v>312</c:v>
                </c:pt>
                <c:pt idx="2">
                  <c:v>278</c:v>
                </c:pt>
                <c:pt idx="3">
                  <c:v>241</c:v>
                </c:pt>
                <c:pt idx="4">
                  <c:v>198</c:v>
                </c:pt>
                <c:pt idx="5">
                  <c:v>172</c:v>
                </c:pt>
                <c:pt idx="6">
                  <c:v>149</c:v>
                </c:pt>
                <c:pt idx="7">
                  <c:v>105</c:v>
                </c:pt>
                <c:pt idx="8">
                  <c:v>72</c:v>
                </c:pt>
              </c:numCache>
            </c:numRef>
          </c:val>
        </c:ser>
        <c:gapWidth val="150"/>
        <c:overlap val="0"/>
        <c:axId val="20240892"/>
        <c:axId val="13848024"/>
      </c:barChart>
      <c:catAx>
        <c:axId val="2024089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48024"/>
        <c:crosses val="autoZero"/>
        <c:auto val="1"/>
        <c:lblAlgn val="ctr"/>
        <c:lblOffset val="100"/>
        <c:noMultiLvlLbl val="0"/>
      </c:catAx>
      <c:valAx>
        <c:axId val="138480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408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Sprint Velocity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'Sprint &amp; Agile Tracker'!E5</c:f>
              <c:strCache>
                <c:ptCount val="1"/>
                <c:pt idx="0">
                  <c:v>Velocity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&amp; Agile Tracker'!$B$6:$B$15</c:f>
              <c:strCache>
                <c:ptCount val="10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</c:strCache>
            </c:strRef>
          </c:cat>
          <c:val>
            <c:numRef>
              <c:f>'Sprint &amp; Agile Tracker'!$E$6:$E$15</c:f>
              <c:numCache>
                <c:formatCode>General</c:formatCode>
                <c:ptCount val="10"/>
                <c:pt idx="0">
                  <c:v>28</c:v>
                </c:pt>
                <c:pt idx="1">
                  <c:v>36</c:v>
                </c:pt>
                <c:pt idx="2">
                  <c:v>42</c:v>
                </c:pt>
                <c:pt idx="3">
                  <c:v>46</c:v>
                </c:pt>
                <c:pt idx="4">
                  <c:v>44</c:v>
                </c:pt>
                <c:pt idx="5">
                  <c:v>48</c:v>
                </c:pt>
                <c:pt idx="6">
                  <c:v>46</c:v>
                </c:pt>
                <c:pt idx="7">
                  <c:v>50</c:v>
                </c:pt>
                <c:pt idx="8">
                  <c:v>48</c:v>
                </c:pt>
                <c:pt idx="9">
                  <c:v>54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076393"/>
        <c:axId val="32926504"/>
      </c:lineChart>
      <c:catAx>
        <c:axId val="770763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926504"/>
        <c:crosses val="autoZero"/>
        <c:auto val="1"/>
        <c:lblAlgn val="ctr"/>
        <c:lblOffset val="100"/>
        <c:noMultiLvlLbl val="0"/>
      </c:catAx>
      <c:valAx>
        <c:axId val="329265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0763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0</xdr:rowOff>
    </xdr:from>
    <xdr:to>
      <xdr:col>7</xdr:col>
      <xdr:colOff>277200</xdr:colOff>
      <xdr:row>39</xdr:row>
      <xdr:rowOff>170640</xdr:rowOff>
    </xdr:to>
    <xdr:graphicFrame>
      <xdr:nvGraphicFramePr>
        <xdr:cNvPr id="0" name="Chart 1"/>
        <xdr:cNvGraphicFramePr/>
      </xdr:nvGraphicFramePr>
      <xdr:xfrm>
        <a:off x="141120" y="542916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24</xdr:row>
      <xdr:rowOff>0</xdr:rowOff>
    </xdr:from>
    <xdr:to>
      <xdr:col>12</xdr:col>
      <xdr:colOff>556920</xdr:colOff>
      <xdr:row>39</xdr:row>
      <xdr:rowOff>170640</xdr:rowOff>
    </xdr:to>
    <xdr:graphicFrame>
      <xdr:nvGraphicFramePr>
        <xdr:cNvPr id="1" name="Chart 2"/>
        <xdr:cNvGraphicFramePr/>
      </xdr:nvGraphicFramePr>
      <xdr:xfrm>
        <a:off x="3383280" y="542916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131040</xdr:rowOff>
    </xdr:from>
    <xdr:to>
      <xdr:col>8</xdr:col>
      <xdr:colOff>292320</xdr:colOff>
      <xdr:row>39</xdr:row>
      <xdr:rowOff>69120</xdr:rowOff>
    </xdr:to>
    <xdr:graphicFrame>
      <xdr:nvGraphicFramePr>
        <xdr:cNvPr id="2" name="Chart 1"/>
        <xdr:cNvGraphicFramePr/>
      </xdr:nvGraphicFramePr>
      <xdr:xfrm>
        <a:off x="141120" y="582948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130680</xdr:rowOff>
    </xdr:from>
    <xdr:to>
      <xdr:col>9</xdr:col>
      <xdr:colOff>292320</xdr:colOff>
      <xdr:row>35</xdr:row>
      <xdr:rowOff>110880</xdr:rowOff>
    </xdr:to>
    <xdr:graphicFrame>
      <xdr:nvGraphicFramePr>
        <xdr:cNvPr id="3" name="Chart 1"/>
        <xdr:cNvGraphicFramePr/>
      </xdr:nvGraphicFramePr>
      <xdr:xfrm>
        <a:off x="141120" y="34290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B1:H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8" min="3" style="0" width="14"/>
    <col collapsed="false" customWidth="true" hidden="false" outlineLevel="0" max="9" min="9" style="0" width="2"/>
  </cols>
  <sheetData>
    <row r="1" customFormat="false" ht="6" hidden="false" customHeight="true" outlineLevel="0" collapsed="false"/>
    <row r="2" customFormat="false" ht="48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4" customFormat="false" ht="7.5" hidden="false" customHeight="true" outlineLevel="0" collapsed="false"/>
    <row r="5" customFormat="false" ht="30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customFormat="false" ht="21.75" hidden="false" customHeight="true" outlineLevel="0" collapsed="false"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</row>
    <row r="7" customFormat="false" ht="21.75" hidden="false" customHeight="true" outlineLevel="0" collapsed="false"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</row>
    <row r="8" customFormat="false" ht="7.5" hidden="false" customHeight="true" outlineLevel="0" collapsed="false"/>
    <row r="9" customFormat="false" ht="18" hidden="false" customHeight="true" outlineLevel="0" collapsed="false">
      <c r="B9" s="6" t="s">
        <v>20</v>
      </c>
      <c r="C9" s="6"/>
      <c r="D9" s="6"/>
      <c r="E9" s="6"/>
      <c r="F9" s="6"/>
      <c r="G9" s="6"/>
      <c r="H9" s="6"/>
    </row>
    <row r="10" customFormat="false" ht="18" hidden="false" customHeight="true" outlineLevel="0" collapsed="false">
      <c r="B10" s="7" t="s">
        <v>21</v>
      </c>
      <c r="C10" s="7" t="s">
        <v>22</v>
      </c>
      <c r="D10" s="7" t="s">
        <v>23</v>
      </c>
      <c r="E10" s="7" t="s">
        <v>24</v>
      </c>
      <c r="F10" s="7" t="s">
        <v>25</v>
      </c>
      <c r="G10" s="7" t="s">
        <v>26</v>
      </c>
      <c r="H10" s="7" t="s">
        <v>27</v>
      </c>
    </row>
    <row r="11" customFormat="false" ht="18" hidden="false" customHeight="true" outlineLevel="0" collapsed="false">
      <c r="B11" s="8" t="s">
        <v>28</v>
      </c>
      <c r="C11" s="9" t="n">
        <v>142</v>
      </c>
      <c r="D11" s="9" t="n">
        <v>138</v>
      </c>
      <c r="E11" s="9" t="n">
        <v>12</v>
      </c>
      <c r="F11" s="9" t="n">
        <v>5.1</v>
      </c>
      <c r="G11" s="10" t="n">
        <v>0.934</v>
      </c>
      <c r="H11" s="11" t="n">
        <v>4.3</v>
      </c>
    </row>
    <row r="12" customFormat="false" ht="18" hidden="false" customHeight="true" outlineLevel="0" collapsed="false">
      <c r="B12" s="12" t="s">
        <v>29</v>
      </c>
      <c r="C12" s="13" t="n">
        <v>118</v>
      </c>
      <c r="D12" s="13" t="n">
        <v>115</v>
      </c>
      <c r="E12" s="13" t="n">
        <v>9</v>
      </c>
      <c r="F12" s="13" t="n">
        <v>4.9</v>
      </c>
      <c r="G12" s="14" t="n">
        <v>0.941</v>
      </c>
      <c r="H12" s="15" t="n">
        <v>4.4</v>
      </c>
    </row>
    <row r="13" customFormat="false" ht="18" hidden="false" customHeight="true" outlineLevel="0" collapsed="false">
      <c r="B13" s="8" t="s">
        <v>30</v>
      </c>
      <c r="C13" s="9" t="n">
        <v>155</v>
      </c>
      <c r="D13" s="9" t="n">
        <v>150</v>
      </c>
      <c r="E13" s="9" t="n">
        <v>14</v>
      </c>
      <c r="F13" s="9" t="n">
        <v>5.3</v>
      </c>
      <c r="G13" s="10" t="n">
        <v>0.929</v>
      </c>
      <c r="H13" s="11" t="n">
        <v>4.2</v>
      </c>
    </row>
    <row r="14" customFormat="false" ht="18" hidden="false" customHeight="true" outlineLevel="0" collapsed="false">
      <c r="B14" s="12" t="s">
        <v>31</v>
      </c>
      <c r="C14" s="13" t="n">
        <v>163</v>
      </c>
      <c r="D14" s="13" t="n">
        <v>160</v>
      </c>
      <c r="E14" s="13" t="n">
        <v>11</v>
      </c>
      <c r="F14" s="13" t="n">
        <v>4.7</v>
      </c>
      <c r="G14" s="16" t="n">
        <v>0.951</v>
      </c>
      <c r="H14" s="15" t="n">
        <v>4.5</v>
      </c>
    </row>
    <row r="15" customFormat="false" ht="7.5" hidden="false" customHeight="true" outlineLevel="0" collapsed="false">
      <c r="B15" s="8" t="s">
        <v>32</v>
      </c>
      <c r="C15" s="9" t="n">
        <v>171</v>
      </c>
      <c r="D15" s="9" t="n">
        <v>168</v>
      </c>
      <c r="E15" s="9" t="n">
        <v>13</v>
      </c>
      <c r="F15" s="9" t="n">
        <v>4.5</v>
      </c>
      <c r="G15" s="17" t="n">
        <v>0.959</v>
      </c>
      <c r="H15" s="11" t="n">
        <v>4.6</v>
      </c>
    </row>
    <row r="16" customFormat="false" ht="18" hidden="false" customHeight="true" outlineLevel="0" collapsed="false">
      <c r="B16" s="12" t="s">
        <v>33</v>
      </c>
      <c r="C16" s="13" t="n">
        <v>148</v>
      </c>
      <c r="D16" s="13" t="n">
        <v>146</v>
      </c>
      <c r="E16" s="13" t="n">
        <v>10</v>
      </c>
      <c r="F16" s="13" t="n">
        <v>4.3</v>
      </c>
      <c r="G16" s="16" t="n">
        <v>0.966</v>
      </c>
      <c r="H16" s="15" t="n">
        <v>4.6</v>
      </c>
    </row>
    <row r="17" customFormat="false" ht="18" hidden="false" customHeight="true" outlineLevel="0" collapsed="false">
      <c r="B17" s="8" t="s">
        <v>34</v>
      </c>
      <c r="C17" s="9" t="n">
        <v>160</v>
      </c>
      <c r="D17" s="9" t="n">
        <v>158</v>
      </c>
      <c r="E17" s="9" t="n">
        <v>12</v>
      </c>
      <c r="F17" s="9" t="n">
        <v>4.1</v>
      </c>
      <c r="G17" s="17" t="n">
        <v>0.969</v>
      </c>
      <c r="H17" s="11" t="n">
        <v>4.7</v>
      </c>
    </row>
    <row r="18" customFormat="false" ht="18" hidden="false" customHeight="true" outlineLevel="0" collapsed="false">
      <c r="B18" s="12" t="s">
        <v>35</v>
      </c>
      <c r="C18" s="13" t="n">
        <v>152</v>
      </c>
      <c r="D18" s="13" t="n">
        <v>150</v>
      </c>
      <c r="E18" s="13" t="n">
        <v>11</v>
      </c>
      <c r="F18" s="13" t="n">
        <v>4</v>
      </c>
      <c r="G18" s="16" t="n">
        <v>0.972</v>
      </c>
      <c r="H18" s="15" t="n">
        <v>4.7</v>
      </c>
    </row>
    <row r="19" customFormat="false" ht="18" hidden="false" customHeight="true" outlineLevel="0" collapsed="false">
      <c r="B19" s="8" t="s">
        <v>36</v>
      </c>
      <c r="C19" s="9" t="n">
        <v>145</v>
      </c>
      <c r="D19" s="9" t="n">
        <v>143</v>
      </c>
      <c r="E19" s="9" t="n">
        <v>8</v>
      </c>
      <c r="F19" s="9" t="n">
        <v>3.9</v>
      </c>
      <c r="G19" s="17" t="n">
        <v>0.974</v>
      </c>
      <c r="H19" s="11" t="n">
        <v>4.7</v>
      </c>
    </row>
    <row r="20" customFormat="false" ht="18" hidden="false" customHeight="true" outlineLevel="0" collapsed="false">
      <c r="B20" s="12" t="s">
        <v>37</v>
      </c>
      <c r="C20" s="13" t="n">
        <v>168</v>
      </c>
      <c r="D20" s="13" t="n">
        <v>165</v>
      </c>
      <c r="E20" s="13" t="n">
        <v>10</v>
      </c>
      <c r="F20" s="13" t="n">
        <v>3.8</v>
      </c>
      <c r="G20" s="16" t="n">
        <v>0.977</v>
      </c>
      <c r="H20" s="15" t="n">
        <v>4.8</v>
      </c>
    </row>
    <row r="21" customFormat="false" ht="18" hidden="false" customHeight="true" outlineLevel="0" collapsed="false">
      <c r="B21" s="8" t="s">
        <v>38</v>
      </c>
      <c r="C21" s="9" t="n">
        <v>174</v>
      </c>
      <c r="D21" s="9" t="n">
        <v>172</v>
      </c>
      <c r="E21" s="9" t="n">
        <v>11</v>
      </c>
      <c r="F21" s="9" t="n">
        <v>3.7</v>
      </c>
      <c r="G21" s="17" t="n">
        <v>0.979</v>
      </c>
      <c r="H21" s="11" t="n">
        <v>4.8</v>
      </c>
    </row>
    <row r="22" customFormat="false" ht="7.5" hidden="false" customHeight="true" outlineLevel="0" collapsed="false">
      <c r="B22" s="12" t="s">
        <v>39</v>
      </c>
      <c r="C22" s="13" t="n">
        <v>146</v>
      </c>
      <c r="D22" s="13" t="n">
        <v>143</v>
      </c>
      <c r="E22" s="13" t="n">
        <v>9</v>
      </c>
      <c r="F22" s="13" t="n">
        <v>3.6</v>
      </c>
      <c r="G22" s="16" t="n">
        <v>0.982</v>
      </c>
      <c r="H22" s="15" t="n">
        <v>4.9</v>
      </c>
    </row>
    <row r="23" customFormat="false" ht="18" hidden="false" customHeight="true" outlineLevel="0" collapsed="false">
      <c r="B23" s="18" t="s">
        <v>40</v>
      </c>
      <c r="C23" s="18" t="n">
        <f aca="false">SUM(C11:C22)</f>
        <v>1842</v>
      </c>
      <c r="D23" s="18" t="n">
        <f aca="false">SUM(D11:D22)</f>
        <v>1808</v>
      </c>
      <c r="E23" s="18" t="n">
        <f aca="false">SUM(E11:E22)</f>
        <v>130</v>
      </c>
      <c r="F23" s="19" t="n">
        <f aca="false">AVERAGE(F11:F22)</f>
        <v>4.325</v>
      </c>
      <c r="G23" s="20" t="n">
        <f aca="false">AVERAGE(G11:G22)</f>
        <v>0.961083333333333</v>
      </c>
      <c r="H23" s="19" t="n">
        <f aca="false">AVERAGE(H11:H22)</f>
        <v>4.6</v>
      </c>
    </row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</sheetData>
  <mergeCells count="3">
    <mergeCell ref="B2:H2"/>
    <mergeCell ref="B3:H3"/>
    <mergeCell ref="B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9488"/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7" min="6" style="0" width="16"/>
    <col collapsed="false" customWidth="true" hidden="false" outlineLevel="0" max="8" min="8" style="0" width="2"/>
  </cols>
  <sheetData>
    <row r="2" customFormat="false" ht="19.7" hidden="false" customHeight="false" outlineLevel="0" collapsed="false">
      <c r="B2" s="21" t="s">
        <v>41</v>
      </c>
      <c r="C2" s="21"/>
      <c r="D2" s="21"/>
      <c r="E2" s="21"/>
      <c r="F2" s="21"/>
      <c r="G2" s="21"/>
    </row>
    <row r="3" customFormat="false" ht="15" hidden="false" customHeight="false" outlineLevel="0" collapsed="false">
      <c r="B3" s="22" t="s">
        <v>42</v>
      </c>
      <c r="C3" s="22"/>
      <c r="D3" s="22"/>
      <c r="E3" s="22"/>
      <c r="F3" s="22"/>
      <c r="G3" s="22"/>
    </row>
    <row r="5" customFormat="false" ht="30" hidden="false" customHeight="true" outlineLevel="0" collapsed="false">
      <c r="B5" s="23" t="s">
        <v>43</v>
      </c>
      <c r="C5" s="23" t="s">
        <v>44</v>
      </c>
      <c r="D5" s="23" t="s">
        <v>45</v>
      </c>
      <c r="E5" s="23" t="s">
        <v>25</v>
      </c>
      <c r="F5" s="23" t="s">
        <v>46</v>
      </c>
      <c r="G5" s="23" t="s">
        <v>47</v>
      </c>
      <c r="H5" s="23" t="s">
        <v>48</v>
      </c>
    </row>
    <row r="6" customFormat="false" ht="36" hidden="false" customHeight="true" outlineLevel="0" collapsed="false">
      <c r="B6" s="24" t="s">
        <v>49</v>
      </c>
      <c r="C6" s="13" t="n">
        <v>387</v>
      </c>
      <c r="D6" s="25" t="n">
        <v>0.21</v>
      </c>
      <c r="E6" s="13" t="n">
        <v>3.2</v>
      </c>
      <c r="F6" s="26" t="n">
        <v>0.052</v>
      </c>
      <c r="G6" s="27" t="s">
        <v>50</v>
      </c>
      <c r="H6" s="27" t="s">
        <v>51</v>
      </c>
    </row>
    <row r="7" customFormat="false" ht="36" hidden="false" customHeight="true" outlineLevel="0" collapsed="false">
      <c r="B7" s="28" t="s">
        <v>52</v>
      </c>
      <c r="C7" s="9" t="n">
        <v>312</v>
      </c>
      <c r="D7" s="29" t="n">
        <v>0.169</v>
      </c>
      <c r="E7" s="9" t="n">
        <v>5.8</v>
      </c>
      <c r="F7" s="30" t="n">
        <v>0.115</v>
      </c>
      <c r="G7" s="31" t="s">
        <v>53</v>
      </c>
      <c r="H7" s="31" t="s">
        <v>54</v>
      </c>
    </row>
    <row r="8" customFormat="false" ht="36" hidden="false" customHeight="true" outlineLevel="0" collapsed="false">
      <c r="B8" s="24" t="s">
        <v>55</v>
      </c>
      <c r="C8" s="13" t="n">
        <v>278</v>
      </c>
      <c r="D8" s="25" t="n">
        <v>0.151</v>
      </c>
      <c r="E8" s="13" t="n">
        <v>6.4</v>
      </c>
      <c r="F8" s="32" t="n">
        <v>0.144</v>
      </c>
      <c r="G8" s="27" t="s">
        <v>56</v>
      </c>
      <c r="H8" s="27" t="s">
        <v>57</v>
      </c>
    </row>
    <row r="9" customFormat="false" ht="36" hidden="false" customHeight="true" outlineLevel="0" collapsed="false">
      <c r="B9" s="28" t="s">
        <v>58</v>
      </c>
      <c r="C9" s="9" t="n">
        <v>241</v>
      </c>
      <c r="D9" s="29" t="n">
        <v>0.131</v>
      </c>
      <c r="E9" s="9" t="n">
        <v>1.1</v>
      </c>
      <c r="F9" s="33" t="n">
        <v>0.008</v>
      </c>
      <c r="G9" s="31" t="s">
        <v>59</v>
      </c>
      <c r="H9" s="31" t="s">
        <v>60</v>
      </c>
    </row>
    <row r="10" customFormat="false" ht="36" hidden="false" customHeight="true" outlineLevel="0" collapsed="false">
      <c r="B10" s="24" t="s">
        <v>61</v>
      </c>
      <c r="C10" s="13" t="n">
        <v>198</v>
      </c>
      <c r="D10" s="25" t="n">
        <v>0.107</v>
      </c>
      <c r="E10" s="13" t="n">
        <v>7.9</v>
      </c>
      <c r="F10" s="32" t="n">
        <v>0.162</v>
      </c>
      <c r="G10" s="27" t="s">
        <v>62</v>
      </c>
      <c r="H10" s="27" t="s">
        <v>63</v>
      </c>
    </row>
    <row r="11" customFormat="false" ht="36" hidden="false" customHeight="true" outlineLevel="0" collapsed="false">
      <c r="B11" s="28" t="s">
        <v>64</v>
      </c>
      <c r="C11" s="9" t="n">
        <v>172</v>
      </c>
      <c r="D11" s="29" t="n">
        <v>0.093</v>
      </c>
      <c r="E11" s="9" t="n">
        <v>4.6</v>
      </c>
      <c r="F11" s="34" t="n">
        <v>0.07</v>
      </c>
      <c r="G11" s="31" t="s">
        <v>65</v>
      </c>
      <c r="H11" s="31" t="s">
        <v>66</v>
      </c>
    </row>
    <row r="12" customFormat="false" ht="36" hidden="false" customHeight="true" outlineLevel="0" collapsed="false">
      <c r="B12" s="24" t="s">
        <v>67</v>
      </c>
      <c r="C12" s="13" t="n">
        <v>149</v>
      </c>
      <c r="D12" s="25" t="n">
        <v>0.081</v>
      </c>
      <c r="E12" s="13" t="n">
        <v>5.1</v>
      </c>
      <c r="F12" s="35" t="n">
        <v>0.094</v>
      </c>
      <c r="G12" s="27" t="s">
        <v>68</v>
      </c>
      <c r="H12" s="27" t="s">
        <v>69</v>
      </c>
    </row>
    <row r="13" customFormat="false" ht="36" hidden="false" customHeight="true" outlineLevel="0" collapsed="false">
      <c r="B13" s="28" t="s">
        <v>70</v>
      </c>
      <c r="C13" s="9" t="n">
        <v>105</v>
      </c>
      <c r="D13" s="29" t="n">
        <v>0.057</v>
      </c>
      <c r="E13" s="9" t="n">
        <v>2.3</v>
      </c>
      <c r="F13" s="33" t="n">
        <v>0.019</v>
      </c>
      <c r="G13" s="31" t="s">
        <v>71</v>
      </c>
      <c r="H13" s="31" t="s">
        <v>72</v>
      </c>
    </row>
    <row r="14" customFormat="false" ht="36" hidden="false" customHeight="true" outlineLevel="0" collapsed="false">
      <c r="B14" s="24" t="s">
        <v>73</v>
      </c>
      <c r="C14" s="13" t="n">
        <v>72</v>
      </c>
      <c r="D14" s="25" t="n">
        <v>0.039</v>
      </c>
      <c r="E14" s="13" t="n">
        <v>4</v>
      </c>
      <c r="F14" s="26" t="n">
        <v>0.056</v>
      </c>
      <c r="G14" s="27" t="s">
        <v>74</v>
      </c>
      <c r="H14" s="27" t="s">
        <v>75</v>
      </c>
    </row>
    <row r="15" customFormat="false" ht="15" hidden="false" customHeight="false" outlineLevel="0" collapsed="false">
      <c r="B15" s="18" t="s">
        <v>76</v>
      </c>
      <c r="C15" s="18" t="n">
        <f aca="false">SUM(C6:C14)</f>
        <v>1914</v>
      </c>
      <c r="D15" s="20" t="n">
        <f aca="false">SUM(D6:D14)</f>
        <v>1.038</v>
      </c>
      <c r="E15" s="18" t="n">
        <f aca="false">AVERAGE(E6:E14)</f>
        <v>4.48888888888889</v>
      </c>
      <c r="F15" s="20" t="n">
        <f aca="false">AVERAGE(F6:F14)</f>
        <v>0.08</v>
      </c>
      <c r="G15" s="18"/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B2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8" min="6" style="0" width="14"/>
    <col collapsed="false" customWidth="true" hidden="false" outlineLevel="0" max="9" min="9" style="0" width="2"/>
  </cols>
  <sheetData>
    <row r="2" customFormat="false" ht="19.7" hidden="false" customHeight="false" outlineLevel="0" collapsed="false">
      <c r="B2" s="21" t="s">
        <v>77</v>
      </c>
      <c r="C2" s="21"/>
      <c r="D2" s="21"/>
      <c r="E2" s="21"/>
      <c r="F2" s="21"/>
      <c r="G2" s="21"/>
      <c r="H2" s="21"/>
    </row>
    <row r="3" customFormat="false" ht="15" hidden="false" customHeight="false" outlineLevel="0" collapsed="false">
      <c r="B3" s="22" t="s">
        <v>78</v>
      </c>
      <c r="C3" s="22"/>
      <c r="D3" s="22"/>
      <c r="E3" s="22"/>
      <c r="F3" s="22"/>
      <c r="G3" s="22"/>
      <c r="H3" s="22"/>
    </row>
    <row r="5" customFormat="false" ht="30" hidden="false" customHeight="true" outlineLevel="0" collapsed="false">
      <c r="B5" s="23" t="s">
        <v>79</v>
      </c>
      <c r="C5" s="23" t="s">
        <v>80</v>
      </c>
      <c r="D5" s="23" t="s">
        <v>81</v>
      </c>
      <c r="E5" s="23" t="s">
        <v>82</v>
      </c>
      <c r="F5" s="23" t="s">
        <v>83</v>
      </c>
      <c r="G5" s="23" t="s">
        <v>84</v>
      </c>
      <c r="H5" s="23" t="s">
        <v>85</v>
      </c>
      <c r="I5" s="23" t="s">
        <v>86</v>
      </c>
    </row>
    <row r="6" customFormat="false" ht="15" hidden="false" customHeight="false" outlineLevel="0" collapsed="false">
      <c r="B6" s="13" t="s">
        <v>87</v>
      </c>
      <c r="C6" s="13" t="n">
        <v>18</v>
      </c>
      <c r="D6" s="13" t="n">
        <v>14</v>
      </c>
      <c r="E6" s="13" t="n">
        <v>28</v>
      </c>
      <c r="F6" s="32" t="n">
        <f aca="false">D6/C6</f>
        <v>0.777777777777778</v>
      </c>
      <c r="G6" s="13" t="n">
        <v>8</v>
      </c>
      <c r="H6" s="13" t="n">
        <v>7</v>
      </c>
      <c r="I6" s="36" t="n">
        <v>-4</v>
      </c>
    </row>
    <row r="7" customFormat="false" ht="15" hidden="false" customHeight="false" outlineLevel="0" collapsed="false">
      <c r="B7" s="9" t="s">
        <v>88</v>
      </c>
      <c r="C7" s="9" t="n">
        <v>20</v>
      </c>
      <c r="D7" s="9" t="n">
        <v>18</v>
      </c>
      <c r="E7" s="9" t="n">
        <v>36</v>
      </c>
      <c r="F7" s="33" t="n">
        <f aca="false">D7/C7</f>
        <v>0.9</v>
      </c>
      <c r="G7" s="9" t="n">
        <v>6</v>
      </c>
      <c r="H7" s="9" t="n">
        <v>6</v>
      </c>
      <c r="I7" s="37" t="n">
        <v>-2</v>
      </c>
    </row>
    <row r="8" customFormat="false" ht="15" hidden="false" customHeight="false" outlineLevel="0" collapsed="false">
      <c r="B8" s="13" t="s">
        <v>89</v>
      </c>
      <c r="C8" s="13" t="n">
        <v>22</v>
      </c>
      <c r="D8" s="13" t="n">
        <v>21</v>
      </c>
      <c r="E8" s="13" t="n">
        <v>42</v>
      </c>
      <c r="F8" s="26" t="n">
        <f aca="false">D8/C8</f>
        <v>0.954545454545455</v>
      </c>
      <c r="G8" s="13" t="n">
        <v>4</v>
      </c>
      <c r="H8" s="13" t="n">
        <v>4</v>
      </c>
      <c r="I8" s="38" t="n">
        <v>3</v>
      </c>
    </row>
    <row r="9" customFormat="false" ht="15" hidden="false" customHeight="false" outlineLevel="0" collapsed="false">
      <c r="B9" s="9" t="s">
        <v>90</v>
      </c>
      <c r="C9" s="9" t="n">
        <v>24</v>
      </c>
      <c r="D9" s="9" t="n">
        <v>23</v>
      </c>
      <c r="E9" s="9" t="n">
        <v>46</v>
      </c>
      <c r="F9" s="33" t="n">
        <f aca="false">D9/C9</f>
        <v>0.958333333333333</v>
      </c>
      <c r="G9" s="9" t="n">
        <v>5</v>
      </c>
      <c r="H9" s="9" t="n">
        <v>5</v>
      </c>
      <c r="I9" s="37" t="n">
        <v>-1</v>
      </c>
    </row>
    <row r="10" customFormat="false" ht="15" hidden="false" customHeight="false" outlineLevel="0" collapsed="false">
      <c r="B10" s="13" t="s">
        <v>91</v>
      </c>
      <c r="C10" s="13" t="n">
        <v>22</v>
      </c>
      <c r="D10" s="13" t="n">
        <v>22</v>
      </c>
      <c r="E10" s="13" t="n">
        <v>44</v>
      </c>
      <c r="F10" s="26" t="n">
        <f aca="false">D10/C10</f>
        <v>1</v>
      </c>
      <c r="G10" s="13" t="n">
        <v>3</v>
      </c>
      <c r="H10" s="13" t="n">
        <v>3</v>
      </c>
      <c r="I10" s="36" t="n">
        <v>-5</v>
      </c>
    </row>
    <row r="11" customFormat="false" ht="15" hidden="false" customHeight="false" outlineLevel="0" collapsed="false">
      <c r="B11" s="9" t="s">
        <v>92</v>
      </c>
      <c r="C11" s="9" t="n">
        <v>25</v>
      </c>
      <c r="D11" s="9" t="n">
        <v>24</v>
      </c>
      <c r="E11" s="9" t="n">
        <v>48</v>
      </c>
      <c r="F11" s="33" t="n">
        <f aca="false">D11/C11</f>
        <v>0.96</v>
      </c>
      <c r="G11" s="9" t="n">
        <v>4</v>
      </c>
      <c r="H11" s="9" t="n">
        <v>4</v>
      </c>
      <c r="I11" s="37" t="n">
        <v>-6</v>
      </c>
    </row>
    <row r="12" customFormat="false" ht="15" hidden="false" customHeight="false" outlineLevel="0" collapsed="false">
      <c r="B12" s="13" t="s">
        <v>93</v>
      </c>
      <c r="C12" s="13" t="n">
        <v>23</v>
      </c>
      <c r="D12" s="13" t="n">
        <v>23</v>
      </c>
      <c r="E12" s="13" t="n">
        <v>46</v>
      </c>
      <c r="F12" s="26" t="n">
        <f aca="false">D12/C12</f>
        <v>1</v>
      </c>
      <c r="G12" s="13" t="n">
        <v>2</v>
      </c>
      <c r="H12" s="13" t="n">
        <v>2</v>
      </c>
      <c r="I12" s="36" t="n">
        <v>-3</v>
      </c>
    </row>
    <row r="13" customFormat="false" ht="15" hidden="false" customHeight="false" outlineLevel="0" collapsed="false">
      <c r="B13" s="9" t="s">
        <v>94</v>
      </c>
      <c r="C13" s="9" t="n">
        <v>26</v>
      </c>
      <c r="D13" s="9" t="n">
        <v>25</v>
      </c>
      <c r="E13" s="9" t="n">
        <v>50</v>
      </c>
      <c r="F13" s="33" t="n">
        <f aca="false">D13/C13</f>
        <v>0.961538461538462</v>
      </c>
      <c r="G13" s="9" t="n">
        <v>3</v>
      </c>
      <c r="H13" s="9" t="n">
        <v>3</v>
      </c>
      <c r="I13" s="37" t="n">
        <v>-7</v>
      </c>
    </row>
    <row r="14" customFormat="false" ht="15" hidden="false" customHeight="false" outlineLevel="0" collapsed="false">
      <c r="B14" s="13" t="s">
        <v>95</v>
      </c>
      <c r="C14" s="13" t="n">
        <v>24</v>
      </c>
      <c r="D14" s="13" t="n">
        <v>24</v>
      </c>
      <c r="E14" s="13" t="n">
        <v>48</v>
      </c>
      <c r="F14" s="26" t="n">
        <f aca="false">D14/C14</f>
        <v>1</v>
      </c>
      <c r="G14" s="13" t="n">
        <v>1</v>
      </c>
      <c r="H14" s="13" t="n">
        <v>1</v>
      </c>
      <c r="I14" s="36" t="n">
        <v>-2</v>
      </c>
    </row>
    <row r="15" customFormat="false" ht="15" hidden="false" customHeight="false" outlineLevel="0" collapsed="false">
      <c r="B15" s="9" t="s">
        <v>96</v>
      </c>
      <c r="C15" s="9" t="n">
        <v>28</v>
      </c>
      <c r="D15" s="9" t="n">
        <v>27</v>
      </c>
      <c r="E15" s="9" t="n">
        <v>54</v>
      </c>
      <c r="F15" s="33" t="n">
        <f aca="false">D15/C15</f>
        <v>0.964285714285714</v>
      </c>
      <c r="G15" s="9" t="n">
        <v>2</v>
      </c>
      <c r="H15" s="9" t="n">
        <v>2</v>
      </c>
      <c r="I15" s="37" t="n">
        <v>-8</v>
      </c>
    </row>
    <row r="16" customFormat="false" ht="15" hidden="false" customHeight="false" outlineLevel="0" collapsed="false">
      <c r="B16" s="18" t="s">
        <v>97</v>
      </c>
      <c r="C16" s="18" t="n">
        <f aca="false">AVERAGE(C6:C15)</f>
        <v>23.2</v>
      </c>
      <c r="D16" s="18" t="n">
        <f aca="false">AVERAGE(D6:D15)</f>
        <v>22.1</v>
      </c>
      <c r="E16" s="18" t="n">
        <f aca="false">AVERAGE(E6:E15)</f>
        <v>44.2</v>
      </c>
      <c r="F16" s="20" t="n">
        <f aca="false">AVERAGE(F6:F15)</f>
        <v>0.947648074148074</v>
      </c>
      <c r="G16" s="18" t="n">
        <f aca="false">SUM(G6:G15)</f>
        <v>38</v>
      </c>
      <c r="H16" s="18" t="n">
        <f aca="false">SUM(H6:H15)</f>
        <v>37</v>
      </c>
      <c r="I16" s="18" t="n">
        <f aca="false">SUM(I6:I15)</f>
        <v>-35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B2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40"/>
    <col collapsed="false" customWidth="true" hidden="false" outlineLevel="0" max="4" min="4" style="0" width="2"/>
  </cols>
  <sheetData>
    <row r="2" customFormat="false" ht="19.7" hidden="false" customHeight="false" outlineLevel="0" collapsed="false">
      <c r="B2" s="21" t="s">
        <v>98</v>
      </c>
      <c r="C2" s="21"/>
    </row>
    <row r="4" customFormat="false" ht="21.75" hidden="false" customHeight="true" outlineLevel="0" collapsed="false">
      <c r="B4" s="39" t="s">
        <v>99</v>
      </c>
      <c r="C4" s="39"/>
    </row>
    <row r="5" customFormat="false" ht="21.75" hidden="false" customHeight="true" outlineLevel="0" collapsed="false">
      <c r="B5" s="40" t="s">
        <v>100</v>
      </c>
      <c r="C5" s="40"/>
    </row>
    <row r="6" customFormat="false" ht="21.75" hidden="false" customHeight="true" outlineLevel="0" collapsed="false">
      <c r="B6" s="40"/>
      <c r="C6" s="40"/>
    </row>
    <row r="7" customFormat="false" ht="21.75" hidden="false" customHeight="true" outlineLevel="0" collapsed="false">
      <c r="B7" s="40"/>
      <c r="C7" s="40"/>
    </row>
    <row r="9" customFormat="false" ht="21.75" hidden="false" customHeight="true" outlineLevel="0" collapsed="false">
      <c r="B9" s="39" t="s">
        <v>101</v>
      </c>
      <c r="C9" s="39"/>
    </row>
    <row r="10" customFormat="false" ht="21.75" hidden="false" customHeight="true" outlineLevel="0" collapsed="false">
      <c r="B10" s="40" t="s">
        <v>102</v>
      </c>
      <c r="C10" s="40"/>
    </row>
    <row r="11" customFormat="false" ht="21.75" hidden="false" customHeight="true" outlineLevel="0" collapsed="false">
      <c r="B11" s="40"/>
      <c r="C11" s="40"/>
    </row>
    <row r="12" customFormat="false" ht="21.75" hidden="false" customHeight="true" outlineLevel="0" collapsed="false">
      <c r="B12" s="40"/>
      <c r="C12" s="40"/>
    </row>
    <row r="14" customFormat="false" ht="21.75" hidden="false" customHeight="true" outlineLevel="0" collapsed="false">
      <c r="B14" s="39" t="s">
        <v>103</v>
      </c>
      <c r="C14" s="39"/>
    </row>
    <row r="15" customFormat="false" ht="21.75" hidden="false" customHeight="true" outlineLevel="0" collapsed="false">
      <c r="B15" s="40" t="s">
        <v>104</v>
      </c>
      <c r="C15" s="40"/>
    </row>
    <row r="16" customFormat="false" ht="21.75" hidden="false" customHeight="true" outlineLevel="0" collapsed="false">
      <c r="B16" s="40"/>
      <c r="C16" s="40"/>
    </row>
    <row r="17" customFormat="false" ht="21.75" hidden="false" customHeight="true" outlineLevel="0" collapsed="false">
      <c r="B17" s="40"/>
      <c r="C17" s="40"/>
    </row>
    <row r="19" customFormat="false" ht="21.75" hidden="false" customHeight="true" outlineLevel="0" collapsed="false">
      <c r="B19" s="39" t="s">
        <v>105</v>
      </c>
      <c r="C19" s="39"/>
    </row>
    <row r="20" customFormat="false" ht="21.75" hidden="false" customHeight="true" outlineLevel="0" collapsed="false">
      <c r="B20" s="40" t="s">
        <v>106</v>
      </c>
      <c r="C20" s="40"/>
    </row>
    <row r="21" customFormat="false" ht="21.75" hidden="false" customHeight="true" outlineLevel="0" collapsed="false">
      <c r="B21" s="40"/>
      <c r="C21" s="40"/>
    </row>
    <row r="22" customFormat="false" ht="21.75" hidden="false" customHeight="true" outlineLevel="0" collapsed="false">
      <c r="B22" s="40"/>
      <c r="C22" s="40"/>
    </row>
    <row r="24" customFormat="false" ht="21.75" hidden="false" customHeight="true" outlineLevel="0" collapsed="false">
      <c r="B24" s="39" t="s">
        <v>107</v>
      </c>
      <c r="C24" s="39"/>
    </row>
    <row r="25" customFormat="false" ht="21.75" hidden="false" customHeight="true" outlineLevel="0" collapsed="false">
      <c r="B25" s="40" t="s">
        <v>108</v>
      </c>
      <c r="C25" s="40"/>
    </row>
    <row r="26" customFormat="false" ht="21.75" hidden="false" customHeight="true" outlineLevel="0" collapsed="false">
      <c r="B26" s="40"/>
      <c r="C26" s="40"/>
    </row>
    <row r="27" customFormat="false" ht="21.75" hidden="false" customHeight="true" outlineLevel="0" collapsed="false">
      <c r="B27" s="40"/>
      <c r="C27" s="40"/>
    </row>
  </sheetData>
  <mergeCells count="11">
    <mergeCell ref="B2:C2"/>
    <mergeCell ref="B4:C4"/>
    <mergeCell ref="B5:C7"/>
    <mergeCell ref="B9:C9"/>
    <mergeCell ref="B10:C12"/>
    <mergeCell ref="B14:C14"/>
    <mergeCell ref="B15:C17"/>
    <mergeCell ref="B19:C19"/>
    <mergeCell ref="B20:C22"/>
    <mergeCell ref="B24:C24"/>
    <mergeCell ref="B25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2026-05-14T18:21:47Z</dcterms:created>
  <dc:creator>openpyxl</dc:creator>
  <dc:description/>
  <dc:language>en-US</dc:language>
  <cp:lastModifiedBy/>
  <dcterms:modified xsi:type="dcterms:W3CDTF">2026-05-14T18:21:56Z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